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60" windowHeight="7680" tabRatio="500"/>
  </bookViews>
  <sheets>
    <sheet name="Summary" sheetId="1" r:id="rId1"/>
    <sheet name="Web Issues" sheetId="2" r:id="rId2"/>
    <sheet name="App Issues" sheetId="3" r:id="rId3"/>
    <sheet name="Sign-Off" sheetId="4" r:id="rId4"/>
  </sheets>
  <definedNames>
    <definedName name="_xlnm._FilterDatabase" localSheetId="2" hidden="1">'App Issues'!$A$3:$J$10</definedName>
    <definedName name="_xlnm._FilterDatabase" localSheetId="1" hidden="1">'Web Issues'!$A$3:$J$38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G21" i="1"/>
  <c r="G20" i="1"/>
  <c r="G22" i="1" l="1"/>
</calcChain>
</file>

<file path=xl/sharedStrings.xml><?xml version="1.0" encoding="utf-8"?>
<sst xmlns="http://schemas.openxmlformats.org/spreadsheetml/2006/main" count="456" uniqueCount="168">
  <si>
    <t>BUG REPORT — SDCMS</t>
  </si>
  <si>
    <t>Supply &amp; Delivery Chain Management System  |  Testing Cycle: May – June 2026</t>
  </si>
  <si>
    <t>PROJECT INFORMATION</t>
  </si>
  <si>
    <t>Project Name</t>
  </si>
  <si>
    <t>SDCMS – Supply &amp; Delivery Chain Management System</t>
  </si>
  <si>
    <t>Project Version</t>
  </si>
  <si>
    <t>1.0 (Initial Release)</t>
  </si>
  <si>
    <t>Platform</t>
  </si>
  <si>
    <t>Web (Browser) + Mobile Application</t>
  </si>
  <si>
    <t>Test Environment</t>
  </si>
  <si>
    <t>Staging / UAT</t>
  </si>
  <si>
    <t>Prepared By</t>
  </si>
  <si>
    <t>Vaishnavi</t>
  </si>
  <si>
    <t>Testing Period</t>
  </si>
  <si>
    <t>Report Date</t>
  </si>
  <si>
    <t>Total Bugs Filed</t>
  </si>
  <si>
    <t>42  (35 Web + 7 App)</t>
  </si>
  <si>
    <t>Total Bugs Closed</t>
  </si>
  <si>
    <t>42  — All Resolved ✓</t>
  </si>
  <si>
    <t>DEFECT SUMMARY</t>
  </si>
  <si>
    <t>Issues Found</t>
  </si>
  <si>
    <t>Retested</t>
  </si>
  <si>
    <t>Closed</t>
  </si>
  <si>
    <t>Open</t>
  </si>
  <si>
    <t>Pass Rate</t>
  </si>
  <si>
    <t>Web (Browser)</t>
  </si>
  <si>
    <t>Mobile App</t>
  </si>
  <si>
    <t>TOTAL</t>
  </si>
  <si>
    <t>PRIORITY LEGEND</t>
  </si>
  <si>
    <t>🔴  HIGH – Critical / Blocking</t>
  </si>
  <si>
    <t>🟡  MEDIUM – Significant</t>
  </si>
  <si>
    <t>🟢  LOW – Minor / Cosmetic</t>
  </si>
  <si>
    <t>TESTING NOTES</t>
  </si>
  <si>
    <t>• All 42 defects have been resolved and retested. Current open count: 0.</t>
  </si>
  <si>
    <t>• Modules tested: Login, Dashboard, Employee Mgmt, Product Catalogue, Courier Master, Order List, Create Order, Bulk Upload/Order, Recent Scans, Print Label, Mobile App.</t>
  </si>
  <si>
    <t>• Issue types: functional bugs, UI/UX gaps, API integration failures, missing features, RBAC issues.</t>
  </si>
  <si>
    <t>• Role-based access control (RBAC) was a recurring concern — fully resolved as of 25-05-26.</t>
  </si>
  <si>
    <t>SDCMS – Web Issue Log  (35 Issues — All Closed)</t>
  </si>
  <si>
    <t>Total: 35  |  High: 23  |  Medium: 9  |  Low: 3  |  Status: All Closed</t>
  </si>
  <si>
    <t>#</t>
  </si>
  <si>
    <t>Bug ID</t>
  </si>
  <si>
    <t>Date Reported</t>
  </si>
  <si>
    <t>Description / Summary</t>
  </si>
  <si>
    <t>Priority</t>
  </si>
  <si>
    <t>Assigned To</t>
  </si>
  <si>
    <t>Fixed By</t>
  </si>
  <si>
    <t>Reported By</t>
  </si>
  <si>
    <t>Status</t>
  </si>
  <si>
    <t>Updated On</t>
  </si>
  <si>
    <t>I001</t>
  </si>
  <si>
    <t>13-05-26</t>
  </si>
  <si>
    <t>Login – Forgot Password functionality missing</t>
  </si>
  <si>
    <t>High</t>
  </si>
  <si>
    <t>Aditya B, Swati</t>
  </si>
  <si>
    <t>—</t>
  </si>
  <si>
    <t>I002</t>
  </si>
  <si>
    <t>Dashboard – System Administrator profile shows null for mobile number and role</t>
  </si>
  <si>
    <t>Swati</t>
  </si>
  <si>
    <t>I003</t>
  </si>
  <si>
    <t>Employee Management – Allow Login checkbox not working; also affects Product Catalogue, Courier Master</t>
  </si>
  <si>
    <t>Aditya B</t>
  </si>
  <si>
    <t>19-05-26</t>
  </si>
  <si>
    <t>I004</t>
  </si>
  <si>
    <t>Product Catalogue – Add New Product is not working</t>
  </si>
  <si>
    <t>16-05-26</t>
  </si>
  <si>
    <t>I005</t>
  </si>
  <si>
    <t>Enable/Disable field missing in Product Catalogue, Courier Master, and Employee Management</t>
  </si>
  <si>
    <t>I006</t>
  </si>
  <si>
    <t>Order List – Order Status dropdown not working (frontend issue)</t>
  </si>
  <si>
    <t>20-05-26</t>
  </si>
  <si>
    <t>I007</t>
  </si>
  <si>
    <t>Order List – Print Label field shows null data</t>
  </si>
  <si>
    <t>I008</t>
  </si>
  <si>
    <t>Order List – Send Notification and Mark as Dispatched actions not working</t>
  </si>
  <si>
    <t>Swati, Aditya B</t>
  </si>
  <si>
    <t>I009</t>
  </si>
  <si>
    <t>Order List – Order details not showing total amount after adding quantity</t>
  </si>
  <si>
    <t>I010</t>
  </si>
  <si>
    <t>Order List – Courier Partner field is null</t>
  </si>
  <si>
    <t>I011</t>
  </si>
  <si>
    <t>Order List – Remove Send Notification and Mark as Dispatched from Action button (handled via feature flag)</t>
  </si>
  <si>
    <t>I012</t>
  </si>
  <si>
    <t>Create Order – Total amount not updating after adding product quantity</t>
  </si>
  <si>
    <t>I013</t>
  </si>
  <si>
    <t>Dashboard – Monthly overview cards and graph not connected to API</t>
  </si>
  <si>
    <t>I014</t>
  </si>
  <si>
    <t>Create Order – Smart Paste not fetching address</t>
  </si>
  <si>
    <t>15-05-26</t>
  </si>
  <si>
    <t>I015</t>
  </si>
  <si>
    <t>Courier Master – Mobile number field missing</t>
  </si>
  <si>
    <t>Aditya B, Aditya M</t>
  </si>
  <si>
    <t>I016</t>
  </si>
  <si>
    <t>Bulk Upload – Background colour needs to be changed</t>
  </si>
  <si>
    <t>Low</t>
  </si>
  <si>
    <t>I017</t>
  </si>
  <si>
    <t>UI not responsive across screen sizes</t>
  </si>
  <si>
    <t>I018</t>
  </si>
  <si>
    <t>Dashboard – Yearly view button missing for graph</t>
  </si>
  <si>
    <t>Swati, Aditya B, Aditya M</t>
  </si>
  <si>
    <t>I019</t>
  </si>
  <si>
    <t>Dashboard – Date filter missing on overview cards</t>
  </si>
  <si>
    <t>I020</t>
  </si>
  <si>
    <t>Recent Scans – Page not created; page name needs to be updated</t>
  </si>
  <si>
    <t>I021</t>
  </si>
  <si>
    <t>Recent Scans – Date filter missing</t>
  </si>
  <si>
    <t>Medium</t>
  </si>
  <si>
    <t>Aditya B, Swati, Aditya M</t>
  </si>
  <si>
    <t>I022</t>
  </si>
  <si>
    <t>Recent Scans – View All button missing</t>
  </si>
  <si>
    <t>I023</t>
  </si>
  <si>
    <t>Recent Scans – Search bar missing</t>
  </si>
  <si>
    <t>25-05-26</t>
  </si>
  <si>
    <t>I024</t>
  </si>
  <si>
    <t>Recent Scans – Parcel Status column should be removed</t>
  </si>
  <si>
    <t>I025</t>
  </si>
  <si>
    <t>14-05-26</t>
  </si>
  <si>
    <t>Dashboard – Graph colour should match corresponding card colour</t>
  </si>
  <si>
    <t>I026</t>
  </si>
  <si>
    <t>Error toast / alert notification text colour is black; should be white</t>
  </si>
  <si>
    <t>I027</t>
  </si>
  <si>
    <t>Create Order – Paid / Unpaid checkbox missing</t>
  </si>
  <si>
    <t>I028</t>
  </si>
  <si>
    <t>Order List – Paid / Unpaid column missing</t>
  </si>
  <si>
    <t>I029</t>
  </si>
  <si>
    <t>Order List – Date filter and Download PDF button missing from action dropdown</t>
  </si>
  <si>
    <t>I030</t>
  </si>
  <si>
    <t>Product Catalogue – Search not working (frontend wiring issue; backend works)</t>
  </si>
  <si>
    <t>I031</t>
  </si>
  <si>
    <t>Bulk Order – LLM helper prompt not precise enough for product matching</t>
  </si>
  <si>
    <t>I032</t>
  </si>
  <si>
    <t>Order List – Cancelled orders should disable all actions and prevent checkbox selection</t>
  </si>
  <si>
    <t>I033</t>
  </si>
  <si>
    <t>Role-based login access control not functioning correctly</t>
  </si>
  <si>
    <t>I034</t>
  </si>
  <si>
    <t>Add Box feature – implementation incomplete</t>
  </si>
  <si>
    <t>I035</t>
  </si>
  <si>
    <t>21-05-26</t>
  </si>
  <si>
    <t>Print Label – QR code not displaying product details after scanning</t>
  </si>
  <si>
    <t>SDCMS – Mobile App Issue Log  (7 Issues — All Closed)</t>
  </si>
  <si>
    <t>Total: 7  |  High: 3  |  Medium: 1  |  Low: 3  |  Status: All Closed</t>
  </si>
  <si>
    <t>IS001</t>
  </si>
  <si>
    <t>Login Page – Sign In with Employee Code option should be removed</t>
  </si>
  <si>
    <t>IS002</t>
  </si>
  <si>
    <t>Login Page – App name needs to be updated</t>
  </si>
  <si>
    <t>IS003</t>
  </si>
  <si>
    <t>Login Page – Subtitle below Sign In button and 'Developed by Rytnow System' text should be removed</t>
  </si>
  <si>
    <t>IS004</t>
  </si>
  <si>
    <t>App UI is not responsive across device screen sizes</t>
  </si>
  <si>
    <t>IS005</t>
  </si>
  <si>
    <t>Scan History – History not syncing across devices for the same login account</t>
  </si>
  <si>
    <t>IS006</t>
  </si>
  <si>
    <t>Scan History – Missing fields: Parcel ID, Sender Name, Receiver Name, AWB Number, Courier Service</t>
  </si>
  <si>
    <t>IS007</t>
  </si>
  <si>
    <t>Password reset email displays incorrect company name; should read 'Utsav Creation'</t>
  </si>
  <si>
    <t>SIGN-OFF  —  SDCMS Bug Report</t>
  </si>
  <si>
    <t>Role</t>
  </si>
  <si>
    <t>Name</t>
  </si>
  <si>
    <t>Signature</t>
  </si>
  <si>
    <t>Date</t>
  </si>
  <si>
    <t>Project Manager</t>
  </si>
  <si>
    <t>Aditya Bachawad</t>
  </si>
  <si>
    <t>Aditya Mulay</t>
  </si>
  <si>
    <t>Aparna Ma'am</t>
  </si>
  <si>
    <t>Data Base</t>
  </si>
  <si>
    <t>Sr. Developer</t>
  </si>
  <si>
    <t>Jr. Developer</t>
  </si>
  <si>
    <t>QA Tester</t>
  </si>
  <si>
    <t>12 May 2026 – 29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</si>
</sst>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3C5E"/>
      <name val="Arial"/>
      <charset val="1"/>
    </font>
    <font>
      <sz val="10"/>
      <color rgb="FF000000"/>
      <name val="Arial"/>
      <charset val="1"/>
    </font>
    <font>
      <b/>
      <sz val="10"/>
      <color rgb="FF27AE60"/>
      <name val="Arial"/>
      <charset val="1"/>
    </font>
    <font>
      <b/>
      <sz val="10"/>
      <color rgb="FFC0392B"/>
      <name val="Arial"/>
      <charset val="1"/>
    </font>
    <font>
      <b/>
      <sz val="10"/>
      <color rgb="FFE67E22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sz val="10"/>
      <name val="Arial"/>
      <charset val="1"/>
    </font>
    <font>
      <b/>
      <sz val="10"/>
      <color rgb="FF2E6DA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E6F4EA"/>
      </patternFill>
    </fill>
    <fill>
      <patternFill patternType="solid">
        <fgColor rgb="FFF4F8FC"/>
        <bgColor rgb="FFEAFAF1"/>
      </patternFill>
    </fill>
    <fill>
      <patternFill patternType="solid">
        <fgColor rgb="FFFFFFFF"/>
        <bgColor rgb="FFF4F8FC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FE0E0"/>
      </patternFill>
    </fill>
    <fill>
      <patternFill patternType="solid">
        <fgColor rgb="FFE6F4EA"/>
        <bgColor rgb="FFEAFAF1"/>
      </patternFill>
    </fill>
    <fill>
      <patternFill patternType="solid">
        <fgColor rgb="FFEAFAF1"/>
        <bgColor rgb="FFE6F4EA"/>
      </patternFill>
    </fill>
  </fills>
  <borders count="3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3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7" fontId="5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3CD"/>
      <rgbColor rgb="FFEAFAF1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F4F8F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3C5E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1"/>
  <sheetViews>
    <sheetView showGridLines="0" tabSelected="1" topLeftCell="A16" zoomScaleNormal="100" workbookViewId="0">
      <selection activeCell="K13" sqref="K13"/>
    </sheetView>
  </sheetViews>
  <sheetFormatPr defaultColWidth="8.7109375" defaultRowHeight="15" x14ac:dyDescent="0.25"/>
  <cols>
    <col min="1" max="1" width="3" customWidth="1"/>
    <col min="2" max="2" width="28" customWidth="1"/>
    <col min="3" max="3" width="38" customWidth="1"/>
    <col min="4" max="7" width="16" customWidth="1"/>
  </cols>
  <sheetData>
    <row r="2" spans="2:7" ht="13.5" customHeight="1" x14ac:dyDescent="0.25"/>
    <row r="3" spans="2:7" ht="37.5" customHeight="1" x14ac:dyDescent="0.25">
      <c r="B3" s="12" t="s">
        <v>0</v>
      </c>
      <c r="C3" s="12"/>
      <c r="D3" s="12"/>
      <c r="E3" s="12"/>
      <c r="F3" s="12"/>
      <c r="G3" s="12"/>
    </row>
    <row r="4" spans="2:7" ht="21.75" customHeight="1" x14ac:dyDescent="0.25">
      <c r="B4" s="11" t="s">
        <v>1</v>
      </c>
      <c r="C4" s="11"/>
      <c r="D4" s="11"/>
      <c r="E4" s="11"/>
      <c r="F4" s="11"/>
      <c r="G4" s="11"/>
    </row>
    <row r="5" spans="2:7" ht="13.5" customHeight="1" x14ac:dyDescent="0.25"/>
    <row r="7" spans="2:7" x14ac:dyDescent="0.25">
      <c r="B7" s="10" t="s">
        <v>2</v>
      </c>
      <c r="C7" s="10"/>
      <c r="D7" s="10"/>
      <c r="E7" s="10"/>
      <c r="F7" s="10"/>
      <c r="G7" s="10"/>
    </row>
    <row r="8" spans="2:7" ht="18" customHeight="1" x14ac:dyDescent="0.25">
      <c r="B8" s="9" t="s">
        <v>3</v>
      </c>
      <c r="C8" s="9"/>
      <c r="D8" s="8" t="s">
        <v>4</v>
      </c>
      <c r="E8" s="8"/>
      <c r="F8" s="8"/>
      <c r="G8" s="8"/>
    </row>
    <row r="9" spans="2:7" ht="18" customHeight="1" x14ac:dyDescent="0.25">
      <c r="B9" s="9" t="s">
        <v>5</v>
      </c>
      <c r="C9" s="9"/>
      <c r="D9" s="7" t="s">
        <v>6</v>
      </c>
      <c r="E9" s="7"/>
      <c r="F9" s="7"/>
      <c r="G9" s="7"/>
    </row>
    <row r="10" spans="2:7" ht="18" customHeight="1" x14ac:dyDescent="0.25">
      <c r="B10" s="9" t="s">
        <v>7</v>
      </c>
      <c r="C10" s="9"/>
      <c r="D10" s="8" t="s">
        <v>8</v>
      </c>
      <c r="E10" s="8"/>
      <c r="F10" s="8"/>
      <c r="G10" s="8"/>
    </row>
    <row r="11" spans="2:7" ht="18" customHeight="1" x14ac:dyDescent="0.25">
      <c r="B11" s="9" t="s">
        <v>9</v>
      </c>
      <c r="C11" s="9"/>
      <c r="D11" s="7" t="s">
        <v>10</v>
      </c>
      <c r="E11" s="7"/>
      <c r="F11" s="7"/>
      <c r="G11" s="7"/>
    </row>
    <row r="12" spans="2:7" ht="18" customHeight="1" x14ac:dyDescent="0.25">
      <c r="B12" s="9" t="s">
        <v>11</v>
      </c>
      <c r="C12" s="9"/>
      <c r="D12" s="8" t="s">
        <v>12</v>
      </c>
      <c r="E12" s="8"/>
      <c r="F12" s="8"/>
      <c r="G12" s="8"/>
    </row>
    <row r="13" spans="2:7" ht="18" customHeight="1" x14ac:dyDescent="0.25">
      <c r="B13" s="9" t="s">
        <v>13</v>
      </c>
      <c r="C13" s="9"/>
      <c r="D13" s="7" t="s">
        <v>167</v>
      </c>
      <c r="E13" s="7"/>
      <c r="F13" s="7"/>
      <c r="G13" s="7"/>
    </row>
    <row r="14" spans="2:7" ht="18" customHeight="1" x14ac:dyDescent="0.25">
      <c r="B14" s="9" t="s">
        <v>14</v>
      </c>
      <c r="C14" s="9"/>
      <c r="D14" s="33">
        <v>46143</v>
      </c>
      <c r="E14" s="8"/>
      <c r="F14" s="8"/>
      <c r="G14" s="8"/>
    </row>
    <row r="15" spans="2:7" ht="18" customHeight="1" x14ac:dyDescent="0.25">
      <c r="B15" s="9" t="s">
        <v>15</v>
      </c>
      <c r="C15" s="9"/>
      <c r="D15" s="7" t="s">
        <v>16</v>
      </c>
      <c r="E15" s="7"/>
      <c r="F15" s="7"/>
      <c r="G15" s="7"/>
    </row>
    <row r="16" spans="2:7" ht="18" customHeight="1" x14ac:dyDescent="0.25">
      <c r="B16" s="9" t="s">
        <v>17</v>
      </c>
      <c r="C16" s="9"/>
      <c r="D16" s="8" t="s">
        <v>18</v>
      </c>
      <c r="E16" s="8"/>
      <c r="F16" s="8"/>
      <c r="G16" s="8"/>
    </row>
    <row r="18" spans="2:7" x14ac:dyDescent="0.25">
      <c r="B18" s="10" t="s">
        <v>19</v>
      </c>
      <c r="C18" s="10"/>
      <c r="D18" s="10"/>
      <c r="E18" s="10"/>
      <c r="F18" s="10"/>
      <c r="G18" s="10"/>
    </row>
    <row r="19" spans="2:7" x14ac:dyDescent="0.25">
      <c r="B19" s="13" t="s">
        <v>7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spans="2:7" ht="18" customHeight="1" x14ac:dyDescent="0.25">
      <c r="B20" s="14" t="s">
        <v>25</v>
      </c>
      <c r="C20" s="15">
        <v>35</v>
      </c>
      <c r="D20" s="15">
        <v>35</v>
      </c>
      <c r="E20" s="15">
        <v>35</v>
      </c>
      <c r="F20" s="15">
        <v>0</v>
      </c>
      <c r="G20" s="16">
        <f>E20/C20</f>
        <v>1</v>
      </c>
    </row>
    <row r="21" spans="2:7" ht="18" customHeight="1" x14ac:dyDescent="0.25">
      <c r="B21" s="17" t="s">
        <v>26</v>
      </c>
      <c r="C21" s="18">
        <v>7</v>
      </c>
      <c r="D21" s="18">
        <v>7</v>
      </c>
      <c r="E21" s="18">
        <v>7</v>
      </c>
      <c r="F21" s="18">
        <v>0</v>
      </c>
      <c r="G21" s="19">
        <f>E21/C21</f>
        <v>1</v>
      </c>
    </row>
    <row r="22" spans="2:7" ht="19.5" customHeight="1" x14ac:dyDescent="0.25">
      <c r="B22" s="20" t="s">
        <v>27</v>
      </c>
      <c r="C22" s="21">
        <f>C20+C21</f>
        <v>42</v>
      </c>
      <c r="D22" s="21">
        <f>D20+D21</f>
        <v>42</v>
      </c>
      <c r="E22" s="21">
        <f>E20+E21</f>
        <v>42</v>
      </c>
      <c r="F22" s="21">
        <f>F20+F21</f>
        <v>0</v>
      </c>
      <c r="G22" s="22">
        <f>E22/C22</f>
        <v>1</v>
      </c>
    </row>
    <row r="24" spans="2:7" x14ac:dyDescent="0.25">
      <c r="B24" s="10" t="s">
        <v>28</v>
      </c>
      <c r="C24" s="10"/>
      <c r="D24" s="10"/>
      <c r="E24" s="10"/>
      <c r="F24" s="10"/>
      <c r="G24" s="10"/>
    </row>
    <row r="25" spans="2:7" x14ac:dyDescent="0.25">
      <c r="B25" s="6" t="s">
        <v>29</v>
      </c>
      <c r="C25" s="6"/>
      <c r="D25" s="5" t="s">
        <v>30</v>
      </c>
      <c r="E25" s="5"/>
      <c r="F25" s="4" t="s">
        <v>31</v>
      </c>
      <c r="G25" s="4"/>
    </row>
    <row r="27" spans="2:7" x14ac:dyDescent="0.25">
      <c r="B27" s="10" t="s">
        <v>32</v>
      </c>
      <c r="C27" s="10"/>
      <c r="D27" s="10"/>
      <c r="E27" s="10"/>
      <c r="F27" s="10"/>
      <c r="G27" s="10"/>
    </row>
    <row r="28" spans="2:7" ht="15.75" customHeight="1" x14ac:dyDescent="0.25">
      <c r="B28" s="3" t="s">
        <v>33</v>
      </c>
      <c r="C28" s="3"/>
      <c r="D28" s="3"/>
      <c r="E28" s="3"/>
      <c r="F28" s="3"/>
      <c r="G28" s="3"/>
    </row>
    <row r="29" spans="2:7" ht="28.5" customHeight="1" x14ac:dyDescent="0.25">
      <c r="B29" s="3" t="s">
        <v>34</v>
      </c>
      <c r="C29" s="3"/>
      <c r="D29" s="3"/>
      <c r="E29" s="3"/>
      <c r="F29" s="3"/>
      <c r="G29" s="3"/>
    </row>
    <row r="30" spans="2:7" ht="15.75" customHeight="1" x14ac:dyDescent="0.25">
      <c r="B30" s="3" t="s">
        <v>35</v>
      </c>
      <c r="C30" s="3"/>
      <c r="D30" s="3"/>
      <c r="E30" s="3"/>
      <c r="F30" s="3"/>
      <c r="G30" s="3"/>
    </row>
    <row r="31" spans="2:7" ht="15.75" customHeight="1" x14ac:dyDescent="0.25">
      <c r="B31" s="3" t="s">
        <v>36</v>
      </c>
      <c r="C31" s="3"/>
      <c r="D31" s="3"/>
      <c r="E31" s="3"/>
      <c r="F31" s="3"/>
      <c r="G31" s="3"/>
    </row>
  </sheetData>
  <mergeCells count="31">
    <mergeCell ref="B28:G28"/>
    <mergeCell ref="B29:G29"/>
    <mergeCell ref="B30:G30"/>
    <mergeCell ref="B31:G31"/>
    <mergeCell ref="B24:G24"/>
    <mergeCell ref="B25:C25"/>
    <mergeCell ref="D25:E25"/>
    <mergeCell ref="F25:G25"/>
    <mergeCell ref="B27:G27"/>
    <mergeCell ref="B15:C15"/>
    <mergeCell ref="D15:G15"/>
    <mergeCell ref="B16:C16"/>
    <mergeCell ref="D16:G16"/>
    <mergeCell ref="B18:G18"/>
    <mergeCell ref="B12:C12"/>
    <mergeCell ref="D12:G12"/>
    <mergeCell ref="B13:C13"/>
    <mergeCell ref="D13:G13"/>
    <mergeCell ref="B14:C14"/>
    <mergeCell ref="D14:G14"/>
    <mergeCell ref="B9:C9"/>
    <mergeCell ref="D9:G9"/>
    <mergeCell ref="B10:C10"/>
    <mergeCell ref="D10:G10"/>
    <mergeCell ref="B11:C11"/>
    <mergeCell ref="D11:G11"/>
    <mergeCell ref="B3:G3"/>
    <mergeCell ref="B4:G4"/>
    <mergeCell ref="B7:G7"/>
    <mergeCell ref="B8:C8"/>
    <mergeCell ref="D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zoomScaleNormal="100" workbookViewId="0">
      <pane ySplit="3" topLeftCell="A31" activePane="bottomLeft" state="frozen"/>
      <selection pane="bottomLeft" activeCell="G5" sqref="G5"/>
    </sheetView>
  </sheetViews>
  <sheetFormatPr defaultColWidth="8.7109375" defaultRowHeight="15" x14ac:dyDescent="0.25"/>
  <cols>
    <col min="1" max="1" width="6" customWidth="1"/>
    <col min="2" max="2" width="10" customWidth="1"/>
    <col min="3" max="3" width="11" customWidth="1"/>
    <col min="4" max="4" width="52" customWidth="1"/>
    <col min="5" max="5" width="11" customWidth="1"/>
    <col min="6" max="7" width="24" customWidth="1"/>
    <col min="8" max="8" width="14" customWidth="1"/>
    <col min="9" max="9" width="10" customWidth="1"/>
    <col min="10" max="10" width="13" customWidth="1"/>
  </cols>
  <sheetData>
    <row r="1" spans="1:10" ht="30" customHeight="1" x14ac:dyDescent="0.2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25">
      <c r="A2" s="1" t="s">
        <v>38</v>
      </c>
      <c r="B2" s="1"/>
      <c r="C2" s="1"/>
      <c r="D2" s="1"/>
      <c r="E2" s="1"/>
      <c r="F2" s="1"/>
      <c r="G2" s="1"/>
      <c r="H2" s="1"/>
      <c r="I2" s="1"/>
      <c r="J2" s="1"/>
    </row>
    <row r="3" spans="1:10" ht="21.75" customHeight="1" x14ac:dyDescent="0.25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47</v>
      </c>
      <c r="J3" s="13" t="s">
        <v>48</v>
      </c>
    </row>
    <row r="4" spans="1:10" ht="39.75" customHeight="1" x14ac:dyDescent="0.25">
      <c r="A4" s="23">
        <v>1</v>
      </c>
      <c r="B4" s="24" t="s">
        <v>49</v>
      </c>
      <c r="C4" s="23" t="s">
        <v>50</v>
      </c>
      <c r="D4" s="25" t="s">
        <v>51</v>
      </c>
      <c r="E4" s="26" t="s">
        <v>52</v>
      </c>
      <c r="F4" s="25" t="s">
        <v>53</v>
      </c>
      <c r="G4" s="25" t="s">
        <v>54</v>
      </c>
      <c r="H4" s="25" t="s">
        <v>12</v>
      </c>
      <c r="I4" s="27" t="s">
        <v>22</v>
      </c>
      <c r="J4" s="23" t="s">
        <v>54</v>
      </c>
    </row>
    <row r="5" spans="1:10" ht="39.75" customHeight="1" x14ac:dyDescent="0.25">
      <c r="A5" s="28">
        <v>2</v>
      </c>
      <c r="B5" s="29" t="s">
        <v>55</v>
      </c>
      <c r="C5" s="28" t="s">
        <v>50</v>
      </c>
      <c r="D5" s="30" t="s">
        <v>56</v>
      </c>
      <c r="E5" s="26" t="s">
        <v>52</v>
      </c>
      <c r="F5" s="30" t="s">
        <v>57</v>
      </c>
      <c r="G5" s="30" t="s">
        <v>57</v>
      </c>
      <c r="H5" s="30" t="s">
        <v>12</v>
      </c>
      <c r="I5" s="27" t="s">
        <v>22</v>
      </c>
      <c r="J5" s="28" t="s">
        <v>50</v>
      </c>
    </row>
    <row r="6" spans="1:10" ht="39.75" customHeight="1" x14ac:dyDescent="0.25">
      <c r="A6" s="23">
        <v>3</v>
      </c>
      <c r="B6" s="24" t="s">
        <v>58</v>
      </c>
      <c r="C6" s="23" t="s">
        <v>50</v>
      </c>
      <c r="D6" s="25" t="s">
        <v>59</v>
      </c>
      <c r="E6" s="26" t="s">
        <v>52</v>
      </c>
      <c r="F6" s="25" t="s">
        <v>60</v>
      </c>
      <c r="G6" s="25" t="s">
        <v>53</v>
      </c>
      <c r="H6" s="25" t="s">
        <v>12</v>
      </c>
      <c r="I6" s="27" t="s">
        <v>22</v>
      </c>
      <c r="J6" s="23" t="s">
        <v>61</v>
      </c>
    </row>
    <row r="7" spans="1:10" ht="39.75" customHeight="1" x14ac:dyDescent="0.25">
      <c r="A7" s="28">
        <v>4</v>
      </c>
      <c r="B7" s="29" t="s">
        <v>62</v>
      </c>
      <c r="C7" s="28" t="s">
        <v>50</v>
      </c>
      <c r="D7" s="30" t="s">
        <v>63</v>
      </c>
      <c r="E7" s="26" t="s">
        <v>52</v>
      </c>
      <c r="F7" s="30" t="s">
        <v>53</v>
      </c>
      <c r="G7" s="30" t="s">
        <v>60</v>
      </c>
      <c r="H7" s="30" t="s">
        <v>12</v>
      </c>
      <c r="I7" s="27" t="s">
        <v>22</v>
      </c>
      <c r="J7" s="28" t="s">
        <v>64</v>
      </c>
    </row>
    <row r="8" spans="1:10" ht="39.75" customHeight="1" x14ac:dyDescent="0.25">
      <c r="A8" s="23">
        <v>5</v>
      </c>
      <c r="B8" s="24" t="s">
        <v>65</v>
      </c>
      <c r="C8" s="23" t="s">
        <v>50</v>
      </c>
      <c r="D8" s="25" t="s">
        <v>66</v>
      </c>
      <c r="E8" s="26" t="s">
        <v>52</v>
      </c>
      <c r="F8" s="25" t="s">
        <v>53</v>
      </c>
      <c r="G8" s="25" t="s">
        <v>53</v>
      </c>
      <c r="H8" s="25" t="s">
        <v>12</v>
      </c>
      <c r="I8" s="27" t="s">
        <v>22</v>
      </c>
      <c r="J8" s="23" t="s">
        <v>61</v>
      </c>
    </row>
    <row r="9" spans="1:10" ht="39.75" customHeight="1" x14ac:dyDescent="0.25">
      <c r="A9" s="28">
        <v>6</v>
      </c>
      <c r="B9" s="29" t="s">
        <v>67</v>
      </c>
      <c r="C9" s="28" t="s">
        <v>50</v>
      </c>
      <c r="D9" s="30" t="s">
        <v>68</v>
      </c>
      <c r="E9" s="26" t="s">
        <v>52</v>
      </c>
      <c r="F9" s="30" t="s">
        <v>57</v>
      </c>
      <c r="G9" s="30" t="s">
        <v>57</v>
      </c>
      <c r="H9" s="30" t="s">
        <v>12</v>
      </c>
      <c r="I9" s="27" t="s">
        <v>22</v>
      </c>
      <c r="J9" s="28" t="s">
        <v>69</v>
      </c>
    </row>
    <row r="10" spans="1:10" ht="39.75" customHeight="1" x14ac:dyDescent="0.25">
      <c r="A10" s="23">
        <v>7</v>
      </c>
      <c r="B10" s="24" t="s">
        <v>70</v>
      </c>
      <c r="C10" s="23" t="s">
        <v>50</v>
      </c>
      <c r="D10" s="25" t="s">
        <v>71</v>
      </c>
      <c r="E10" s="26" t="s">
        <v>52</v>
      </c>
      <c r="F10" s="25" t="s">
        <v>53</v>
      </c>
      <c r="G10" s="25" t="s">
        <v>57</v>
      </c>
      <c r="H10" s="25" t="s">
        <v>12</v>
      </c>
      <c r="I10" s="27" t="s">
        <v>22</v>
      </c>
      <c r="J10" s="23" t="s">
        <v>50</v>
      </c>
    </row>
    <row r="11" spans="1:10" ht="39.75" customHeight="1" x14ac:dyDescent="0.25">
      <c r="A11" s="28">
        <v>8</v>
      </c>
      <c r="B11" s="29" t="s">
        <v>72</v>
      </c>
      <c r="C11" s="28" t="s">
        <v>50</v>
      </c>
      <c r="D11" s="30" t="s">
        <v>73</v>
      </c>
      <c r="E11" s="26" t="s">
        <v>52</v>
      </c>
      <c r="F11" s="30" t="s">
        <v>74</v>
      </c>
      <c r="G11" s="30" t="s">
        <v>60</v>
      </c>
      <c r="H11" s="30" t="s">
        <v>12</v>
      </c>
      <c r="I11" s="27" t="s">
        <v>22</v>
      </c>
      <c r="J11" s="28" t="s">
        <v>69</v>
      </c>
    </row>
    <row r="12" spans="1:10" ht="39.75" customHeight="1" x14ac:dyDescent="0.25">
      <c r="A12" s="23">
        <v>9</v>
      </c>
      <c r="B12" s="24" t="s">
        <v>75</v>
      </c>
      <c r="C12" s="23" t="s">
        <v>50</v>
      </c>
      <c r="D12" s="25" t="s">
        <v>76</v>
      </c>
      <c r="E12" s="26" t="s">
        <v>52</v>
      </c>
      <c r="F12" s="25" t="s">
        <v>57</v>
      </c>
      <c r="G12" s="25" t="s">
        <v>57</v>
      </c>
      <c r="H12" s="25" t="s">
        <v>12</v>
      </c>
      <c r="I12" s="27" t="s">
        <v>22</v>
      </c>
      <c r="J12" s="23" t="s">
        <v>50</v>
      </c>
    </row>
    <row r="13" spans="1:10" ht="39.75" customHeight="1" x14ac:dyDescent="0.25">
      <c r="A13" s="28">
        <v>10</v>
      </c>
      <c r="B13" s="29" t="s">
        <v>77</v>
      </c>
      <c r="C13" s="28" t="s">
        <v>50</v>
      </c>
      <c r="D13" s="30" t="s">
        <v>78</v>
      </c>
      <c r="E13" s="26" t="s">
        <v>52</v>
      </c>
      <c r="F13" s="30" t="s">
        <v>53</v>
      </c>
      <c r="G13" s="30" t="s">
        <v>60</v>
      </c>
      <c r="H13" s="30" t="s">
        <v>12</v>
      </c>
      <c r="I13" s="27" t="s">
        <v>22</v>
      </c>
      <c r="J13" s="28" t="s">
        <v>54</v>
      </c>
    </row>
    <row r="14" spans="1:10" ht="39.75" customHeight="1" x14ac:dyDescent="0.25">
      <c r="A14" s="23">
        <v>11</v>
      </c>
      <c r="B14" s="24" t="s">
        <v>79</v>
      </c>
      <c r="C14" s="23" t="s">
        <v>50</v>
      </c>
      <c r="D14" s="25" t="s">
        <v>80</v>
      </c>
      <c r="E14" s="26" t="s">
        <v>52</v>
      </c>
      <c r="F14" s="25" t="s">
        <v>53</v>
      </c>
      <c r="G14" s="25" t="s">
        <v>53</v>
      </c>
      <c r="H14" s="25" t="s">
        <v>12</v>
      </c>
      <c r="I14" s="27" t="s">
        <v>22</v>
      </c>
      <c r="J14" s="23" t="s">
        <v>69</v>
      </c>
    </row>
    <row r="15" spans="1:10" ht="39.75" customHeight="1" x14ac:dyDescent="0.25">
      <c r="A15" s="28">
        <v>12</v>
      </c>
      <c r="B15" s="29" t="s">
        <v>81</v>
      </c>
      <c r="C15" s="28" t="s">
        <v>50</v>
      </c>
      <c r="D15" s="30" t="s">
        <v>82</v>
      </c>
      <c r="E15" s="26" t="s">
        <v>52</v>
      </c>
      <c r="F15" s="30" t="s">
        <v>53</v>
      </c>
      <c r="G15" s="30" t="s">
        <v>57</v>
      </c>
      <c r="H15" s="30" t="s">
        <v>12</v>
      </c>
      <c r="I15" s="27" t="s">
        <v>22</v>
      </c>
      <c r="J15" s="28" t="s">
        <v>64</v>
      </c>
    </row>
    <row r="16" spans="1:10" ht="39.75" customHeight="1" x14ac:dyDescent="0.25">
      <c r="A16" s="23">
        <v>13</v>
      </c>
      <c r="B16" s="24" t="s">
        <v>83</v>
      </c>
      <c r="C16" s="23" t="s">
        <v>50</v>
      </c>
      <c r="D16" s="25" t="s">
        <v>84</v>
      </c>
      <c r="E16" s="26" t="s">
        <v>52</v>
      </c>
      <c r="F16" s="25" t="s">
        <v>53</v>
      </c>
      <c r="G16" s="25" t="s">
        <v>53</v>
      </c>
      <c r="H16" s="25" t="s">
        <v>12</v>
      </c>
      <c r="I16" s="27" t="s">
        <v>22</v>
      </c>
      <c r="J16" s="23" t="s">
        <v>61</v>
      </c>
    </row>
    <row r="17" spans="1:10" ht="39.75" customHeight="1" x14ac:dyDescent="0.25">
      <c r="A17" s="28">
        <v>14</v>
      </c>
      <c r="B17" s="29" t="s">
        <v>85</v>
      </c>
      <c r="C17" s="28" t="s">
        <v>50</v>
      </c>
      <c r="D17" s="30" t="s">
        <v>86</v>
      </c>
      <c r="E17" s="26" t="s">
        <v>52</v>
      </c>
      <c r="F17" s="30" t="s">
        <v>57</v>
      </c>
      <c r="G17" s="30" t="s">
        <v>57</v>
      </c>
      <c r="H17" s="30" t="s">
        <v>12</v>
      </c>
      <c r="I17" s="27" t="s">
        <v>22</v>
      </c>
      <c r="J17" s="28" t="s">
        <v>87</v>
      </c>
    </row>
    <row r="18" spans="1:10" ht="39.75" customHeight="1" x14ac:dyDescent="0.25">
      <c r="A18" s="23">
        <v>15</v>
      </c>
      <c r="B18" s="24" t="s">
        <v>88</v>
      </c>
      <c r="C18" s="23" t="s">
        <v>50</v>
      </c>
      <c r="D18" s="25" t="s">
        <v>89</v>
      </c>
      <c r="E18" s="26" t="s">
        <v>52</v>
      </c>
      <c r="F18" s="25" t="s">
        <v>53</v>
      </c>
      <c r="G18" s="25" t="s">
        <v>90</v>
      </c>
      <c r="H18" s="25" t="s">
        <v>12</v>
      </c>
      <c r="I18" s="27" t="s">
        <v>22</v>
      </c>
      <c r="J18" s="23" t="s">
        <v>64</v>
      </c>
    </row>
    <row r="19" spans="1:10" ht="39.75" customHeight="1" x14ac:dyDescent="0.25">
      <c r="A19" s="28">
        <v>16</v>
      </c>
      <c r="B19" s="29" t="s">
        <v>91</v>
      </c>
      <c r="C19" s="28" t="s">
        <v>50</v>
      </c>
      <c r="D19" s="30" t="s">
        <v>92</v>
      </c>
      <c r="E19" s="31" t="s">
        <v>93</v>
      </c>
      <c r="F19" s="30" t="s">
        <v>53</v>
      </c>
      <c r="G19" s="30" t="s">
        <v>57</v>
      </c>
      <c r="H19" s="30" t="s">
        <v>12</v>
      </c>
      <c r="I19" s="27" t="s">
        <v>22</v>
      </c>
      <c r="J19" s="28" t="s">
        <v>64</v>
      </c>
    </row>
    <row r="20" spans="1:10" ht="39.75" customHeight="1" x14ac:dyDescent="0.25">
      <c r="A20" s="23">
        <v>17</v>
      </c>
      <c r="B20" s="24" t="s">
        <v>94</v>
      </c>
      <c r="C20" s="23" t="s">
        <v>50</v>
      </c>
      <c r="D20" s="25" t="s">
        <v>95</v>
      </c>
      <c r="E20" s="26" t="s">
        <v>52</v>
      </c>
      <c r="F20" s="25" t="s">
        <v>57</v>
      </c>
      <c r="G20" s="25" t="s">
        <v>74</v>
      </c>
      <c r="H20" s="25" t="s">
        <v>12</v>
      </c>
      <c r="I20" s="27" t="s">
        <v>22</v>
      </c>
      <c r="J20" s="23" t="s">
        <v>54</v>
      </c>
    </row>
    <row r="21" spans="1:10" ht="39.75" customHeight="1" x14ac:dyDescent="0.25">
      <c r="A21" s="28">
        <v>18</v>
      </c>
      <c r="B21" s="29" t="s">
        <v>96</v>
      </c>
      <c r="C21" s="28" t="s">
        <v>50</v>
      </c>
      <c r="D21" s="30" t="s">
        <v>97</v>
      </c>
      <c r="E21" s="26" t="s">
        <v>52</v>
      </c>
      <c r="F21" s="30" t="s">
        <v>98</v>
      </c>
      <c r="G21" s="30" t="s">
        <v>57</v>
      </c>
      <c r="H21" s="30" t="s">
        <v>12</v>
      </c>
      <c r="I21" s="27" t="s">
        <v>22</v>
      </c>
      <c r="J21" s="28" t="s">
        <v>87</v>
      </c>
    </row>
    <row r="22" spans="1:10" ht="39.75" customHeight="1" x14ac:dyDescent="0.25">
      <c r="A22" s="23">
        <v>19</v>
      </c>
      <c r="B22" s="24" t="s">
        <v>99</v>
      </c>
      <c r="C22" s="23" t="s">
        <v>50</v>
      </c>
      <c r="D22" s="25" t="s">
        <v>100</v>
      </c>
      <c r="E22" s="26" t="s">
        <v>52</v>
      </c>
      <c r="F22" s="25" t="s">
        <v>98</v>
      </c>
      <c r="G22" s="25" t="s">
        <v>57</v>
      </c>
      <c r="H22" s="25" t="s">
        <v>12</v>
      </c>
      <c r="I22" s="27" t="s">
        <v>22</v>
      </c>
      <c r="J22" s="23" t="s">
        <v>64</v>
      </c>
    </row>
    <row r="23" spans="1:10" ht="39.75" customHeight="1" x14ac:dyDescent="0.25">
      <c r="A23" s="28">
        <v>20</v>
      </c>
      <c r="B23" s="29" t="s">
        <v>101</v>
      </c>
      <c r="C23" s="28" t="s">
        <v>50</v>
      </c>
      <c r="D23" s="30" t="s">
        <v>102</v>
      </c>
      <c r="E23" s="26" t="s">
        <v>52</v>
      </c>
      <c r="F23" s="30" t="s">
        <v>57</v>
      </c>
      <c r="G23" s="30" t="s">
        <v>57</v>
      </c>
      <c r="H23" s="30" t="s">
        <v>12</v>
      </c>
      <c r="I23" s="27" t="s">
        <v>22</v>
      </c>
      <c r="J23" s="28" t="s">
        <v>69</v>
      </c>
    </row>
    <row r="24" spans="1:10" ht="39.75" customHeight="1" x14ac:dyDescent="0.25">
      <c r="A24" s="23">
        <v>21</v>
      </c>
      <c r="B24" s="24" t="s">
        <v>103</v>
      </c>
      <c r="C24" s="23" t="s">
        <v>50</v>
      </c>
      <c r="D24" s="25" t="s">
        <v>104</v>
      </c>
      <c r="E24" s="32" t="s">
        <v>105</v>
      </c>
      <c r="F24" s="25" t="s">
        <v>106</v>
      </c>
      <c r="G24" s="25" t="s">
        <v>57</v>
      </c>
      <c r="H24" s="25" t="s">
        <v>12</v>
      </c>
      <c r="I24" s="27" t="s">
        <v>22</v>
      </c>
      <c r="J24" s="23" t="s">
        <v>87</v>
      </c>
    </row>
    <row r="25" spans="1:10" ht="39.75" customHeight="1" x14ac:dyDescent="0.25">
      <c r="A25" s="28">
        <v>22</v>
      </c>
      <c r="B25" s="29" t="s">
        <v>107</v>
      </c>
      <c r="C25" s="28" t="s">
        <v>50</v>
      </c>
      <c r="D25" s="30" t="s">
        <v>108</v>
      </c>
      <c r="E25" s="26" t="s">
        <v>52</v>
      </c>
      <c r="F25" s="30" t="s">
        <v>53</v>
      </c>
      <c r="G25" s="30" t="s">
        <v>57</v>
      </c>
      <c r="H25" s="30" t="s">
        <v>12</v>
      </c>
      <c r="I25" s="27" t="s">
        <v>22</v>
      </c>
      <c r="J25" s="28" t="s">
        <v>87</v>
      </c>
    </row>
    <row r="26" spans="1:10" ht="39.75" customHeight="1" x14ac:dyDescent="0.25">
      <c r="A26" s="23">
        <v>23</v>
      </c>
      <c r="B26" s="24" t="s">
        <v>109</v>
      </c>
      <c r="C26" s="23" t="s">
        <v>50</v>
      </c>
      <c r="D26" s="25" t="s">
        <v>110</v>
      </c>
      <c r="E26" s="32" t="s">
        <v>105</v>
      </c>
      <c r="F26" s="25" t="s">
        <v>57</v>
      </c>
      <c r="G26" s="25" t="s">
        <v>57</v>
      </c>
      <c r="H26" s="25" t="s">
        <v>12</v>
      </c>
      <c r="I26" s="27" t="s">
        <v>22</v>
      </c>
      <c r="J26" s="23" t="s">
        <v>111</v>
      </c>
    </row>
    <row r="27" spans="1:10" ht="39.75" customHeight="1" x14ac:dyDescent="0.25">
      <c r="A27" s="28">
        <v>24</v>
      </c>
      <c r="B27" s="29" t="s">
        <v>112</v>
      </c>
      <c r="C27" s="28" t="s">
        <v>50</v>
      </c>
      <c r="D27" s="30" t="s">
        <v>113</v>
      </c>
      <c r="E27" s="32" t="s">
        <v>105</v>
      </c>
      <c r="F27" s="30" t="s">
        <v>57</v>
      </c>
      <c r="G27" s="30" t="s">
        <v>57</v>
      </c>
      <c r="H27" s="30" t="s">
        <v>12</v>
      </c>
      <c r="I27" s="27" t="s">
        <v>22</v>
      </c>
      <c r="J27" s="28" t="s">
        <v>69</v>
      </c>
    </row>
    <row r="28" spans="1:10" ht="39.75" customHeight="1" x14ac:dyDescent="0.25">
      <c r="A28" s="23">
        <v>25</v>
      </c>
      <c r="B28" s="24" t="s">
        <v>114</v>
      </c>
      <c r="C28" s="23" t="s">
        <v>115</v>
      </c>
      <c r="D28" s="25" t="s">
        <v>116</v>
      </c>
      <c r="E28" s="26" t="s">
        <v>52</v>
      </c>
      <c r="F28" s="25" t="s">
        <v>57</v>
      </c>
      <c r="G28" s="25" t="s">
        <v>57</v>
      </c>
      <c r="H28" s="25" t="s">
        <v>12</v>
      </c>
      <c r="I28" s="27" t="s">
        <v>22</v>
      </c>
      <c r="J28" s="23" t="s">
        <v>69</v>
      </c>
    </row>
    <row r="29" spans="1:10" ht="39.75" customHeight="1" x14ac:dyDescent="0.25">
      <c r="A29" s="28">
        <v>26</v>
      </c>
      <c r="B29" s="29" t="s">
        <v>117</v>
      </c>
      <c r="C29" s="28" t="s">
        <v>115</v>
      </c>
      <c r="D29" s="30" t="s">
        <v>118</v>
      </c>
      <c r="E29" s="31" t="s">
        <v>93</v>
      </c>
      <c r="F29" s="30" t="s">
        <v>57</v>
      </c>
      <c r="G29" s="30" t="s">
        <v>57</v>
      </c>
      <c r="H29" s="30" t="s">
        <v>12</v>
      </c>
      <c r="I29" s="27" t="s">
        <v>22</v>
      </c>
      <c r="J29" s="28" t="s">
        <v>69</v>
      </c>
    </row>
    <row r="30" spans="1:10" ht="39.75" customHeight="1" x14ac:dyDescent="0.25">
      <c r="A30" s="23">
        <v>27</v>
      </c>
      <c r="B30" s="24" t="s">
        <v>119</v>
      </c>
      <c r="C30" s="23" t="s">
        <v>87</v>
      </c>
      <c r="D30" s="25" t="s">
        <v>120</v>
      </c>
      <c r="E30" s="32" t="s">
        <v>105</v>
      </c>
      <c r="F30" s="25" t="s">
        <v>106</v>
      </c>
      <c r="G30" s="25" t="s">
        <v>57</v>
      </c>
      <c r="H30" s="25" t="s">
        <v>12</v>
      </c>
      <c r="I30" s="27" t="s">
        <v>22</v>
      </c>
      <c r="J30" s="23" t="s">
        <v>64</v>
      </c>
    </row>
    <row r="31" spans="1:10" ht="39.75" customHeight="1" x14ac:dyDescent="0.25">
      <c r="A31" s="28">
        <v>28</v>
      </c>
      <c r="B31" s="29" t="s">
        <v>121</v>
      </c>
      <c r="C31" s="28" t="s">
        <v>87</v>
      </c>
      <c r="D31" s="30" t="s">
        <v>122</v>
      </c>
      <c r="E31" s="32" t="s">
        <v>105</v>
      </c>
      <c r="F31" s="30" t="s">
        <v>60</v>
      </c>
      <c r="G31" s="30" t="s">
        <v>54</v>
      </c>
      <c r="H31" s="30" t="s">
        <v>12</v>
      </c>
      <c r="I31" s="27" t="s">
        <v>22</v>
      </c>
      <c r="J31" s="28" t="s">
        <v>69</v>
      </c>
    </row>
    <row r="32" spans="1:10" ht="39.75" customHeight="1" x14ac:dyDescent="0.25">
      <c r="A32" s="23">
        <v>29</v>
      </c>
      <c r="B32" s="24" t="s">
        <v>123</v>
      </c>
      <c r="C32" s="23" t="s">
        <v>87</v>
      </c>
      <c r="D32" s="25" t="s">
        <v>124</v>
      </c>
      <c r="E32" s="32" t="s">
        <v>105</v>
      </c>
      <c r="F32" s="25" t="s">
        <v>53</v>
      </c>
      <c r="G32" s="25" t="s">
        <v>54</v>
      </c>
      <c r="H32" s="25" t="s">
        <v>12</v>
      </c>
      <c r="I32" s="27" t="s">
        <v>22</v>
      </c>
      <c r="J32" s="23" t="s">
        <v>111</v>
      </c>
    </row>
    <row r="33" spans="1:10" ht="39.75" customHeight="1" x14ac:dyDescent="0.25">
      <c r="A33" s="28">
        <v>30</v>
      </c>
      <c r="B33" s="29" t="s">
        <v>125</v>
      </c>
      <c r="C33" s="28" t="s">
        <v>64</v>
      </c>
      <c r="D33" s="30" t="s">
        <v>126</v>
      </c>
      <c r="E33" s="31" t="s">
        <v>93</v>
      </c>
      <c r="F33" s="30" t="s">
        <v>57</v>
      </c>
      <c r="G33" s="30" t="s">
        <v>57</v>
      </c>
      <c r="H33" s="30" t="s">
        <v>12</v>
      </c>
      <c r="I33" s="27" t="s">
        <v>22</v>
      </c>
      <c r="J33" s="28" t="s">
        <v>69</v>
      </c>
    </row>
    <row r="34" spans="1:10" ht="39.75" customHeight="1" x14ac:dyDescent="0.25">
      <c r="A34" s="23">
        <v>31</v>
      </c>
      <c r="B34" s="24" t="s">
        <v>127</v>
      </c>
      <c r="C34" s="23" t="s">
        <v>64</v>
      </c>
      <c r="D34" s="25" t="s">
        <v>128</v>
      </c>
      <c r="E34" s="26" t="s">
        <v>52</v>
      </c>
      <c r="F34" s="25" t="s">
        <v>60</v>
      </c>
      <c r="G34" s="25" t="s">
        <v>60</v>
      </c>
      <c r="H34" s="25" t="s">
        <v>12</v>
      </c>
      <c r="I34" s="27" t="s">
        <v>22</v>
      </c>
      <c r="J34" s="23" t="s">
        <v>54</v>
      </c>
    </row>
    <row r="35" spans="1:10" ht="39.75" customHeight="1" x14ac:dyDescent="0.25">
      <c r="A35" s="28">
        <v>32</v>
      </c>
      <c r="B35" s="29" t="s">
        <v>129</v>
      </c>
      <c r="C35" s="28" t="s">
        <v>64</v>
      </c>
      <c r="D35" s="30" t="s">
        <v>130</v>
      </c>
      <c r="E35" s="32" t="s">
        <v>105</v>
      </c>
      <c r="F35" s="30" t="s">
        <v>57</v>
      </c>
      <c r="G35" s="30" t="s">
        <v>57</v>
      </c>
      <c r="H35" s="30" t="s">
        <v>12</v>
      </c>
      <c r="I35" s="27" t="s">
        <v>22</v>
      </c>
      <c r="J35" s="28" t="s">
        <v>69</v>
      </c>
    </row>
    <row r="36" spans="1:10" ht="39.75" customHeight="1" x14ac:dyDescent="0.25">
      <c r="A36" s="23">
        <v>33</v>
      </c>
      <c r="B36" s="24" t="s">
        <v>131</v>
      </c>
      <c r="C36" s="23" t="s">
        <v>61</v>
      </c>
      <c r="D36" s="25" t="s">
        <v>132</v>
      </c>
      <c r="E36" s="26" t="s">
        <v>52</v>
      </c>
      <c r="F36" s="25" t="s">
        <v>53</v>
      </c>
      <c r="G36" s="25" t="s">
        <v>60</v>
      </c>
      <c r="H36" s="25" t="s">
        <v>12</v>
      </c>
      <c r="I36" s="27" t="s">
        <v>22</v>
      </c>
      <c r="J36" s="23" t="s">
        <v>111</v>
      </c>
    </row>
    <row r="37" spans="1:10" ht="39.75" customHeight="1" x14ac:dyDescent="0.25">
      <c r="A37" s="28">
        <v>34</v>
      </c>
      <c r="B37" s="29" t="s">
        <v>133</v>
      </c>
      <c r="C37" s="28" t="s">
        <v>61</v>
      </c>
      <c r="D37" s="30" t="s">
        <v>134</v>
      </c>
      <c r="E37" s="32" t="s">
        <v>105</v>
      </c>
      <c r="F37" s="30" t="s">
        <v>60</v>
      </c>
      <c r="G37" s="30" t="s">
        <v>60</v>
      </c>
      <c r="H37" s="30" t="s">
        <v>12</v>
      </c>
      <c r="I37" s="27" t="s">
        <v>22</v>
      </c>
      <c r="J37" s="28" t="s">
        <v>54</v>
      </c>
    </row>
    <row r="38" spans="1:10" ht="39.75" customHeight="1" x14ac:dyDescent="0.25">
      <c r="A38" s="23">
        <v>35</v>
      </c>
      <c r="B38" s="24" t="s">
        <v>135</v>
      </c>
      <c r="C38" s="23" t="s">
        <v>136</v>
      </c>
      <c r="D38" s="25" t="s">
        <v>137</v>
      </c>
      <c r="E38" s="32" t="s">
        <v>105</v>
      </c>
      <c r="F38" s="25" t="s">
        <v>60</v>
      </c>
      <c r="G38" s="25" t="s">
        <v>60</v>
      </c>
      <c r="H38" s="25" t="s">
        <v>12</v>
      </c>
      <c r="I38" s="27" t="s">
        <v>22</v>
      </c>
      <c r="J38" s="23" t="s">
        <v>54</v>
      </c>
    </row>
  </sheetData>
  <autoFilter ref="A3:J38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zoomScaleNormal="100" workbookViewId="0">
      <pane ySplit="3" topLeftCell="A4" activePane="bottomLeft" state="frozen"/>
      <selection pane="bottomLeft" activeCell="J3" sqref="J3"/>
    </sheetView>
  </sheetViews>
  <sheetFormatPr defaultColWidth="8.7109375" defaultRowHeight="15" x14ac:dyDescent="0.25"/>
  <cols>
    <col min="1" max="1" width="6" customWidth="1"/>
    <col min="2" max="2" width="10" customWidth="1"/>
    <col min="3" max="3" width="11" customWidth="1"/>
    <col min="4" max="4" width="52" customWidth="1"/>
    <col min="5" max="5" width="11" customWidth="1"/>
    <col min="6" max="7" width="24" customWidth="1"/>
    <col min="8" max="8" width="14" customWidth="1"/>
    <col min="9" max="9" width="10" customWidth="1"/>
    <col min="10" max="10" width="13" customWidth="1"/>
  </cols>
  <sheetData>
    <row r="1" spans="1:10" ht="30" customHeight="1" x14ac:dyDescent="0.25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25">
      <c r="A2" s="1" t="s">
        <v>139</v>
      </c>
      <c r="B2" s="1"/>
      <c r="C2" s="1"/>
      <c r="D2" s="1"/>
      <c r="E2" s="1"/>
      <c r="F2" s="1"/>
      <c r="G2" s="1"/>
      <c r="H2" s="1"/>
      <c r="I2" s="1"/>
      <c r="J2" s="1"/>
    </row>
    <row r="3" spans="1:10" ht="21.75" customHeight="1" x14ac:dyDescent="0.25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47</v>
      </c>
      <c r="J3" s="13" t="s">
        <v>48</v>
      </c>
    </row>
    <row r="4" spans="1:10" ht="39.75" customHeight="1" x14ac:dyDescent="0.25">
      <c r="A4" s="23">
        <v>1</v>
      </c>
      <c r="B4" s="24" t="s">
        <v>140</v>
      </c>
      <c r="C4" s="23" t="s">
        <v>69</v>
      </c>
      <c r="D4" s="25" t="s">
        <v>141</v>
      </c>
      <c r="E4" s="32" t="s">
        <v>105</v>
      </c>
      <c r="F4" s="25" t="s">
        <v>60</v>
      </c>
      <c r="G4" s="25" t="s">
        <v>60</v>
      </c>
      <c r="H4" s="25" t="s">
        <v>12</v>
      </c>
      <c r="I4" s="27" t="s">
        <v>22</v>
      </c>
      <c r="J4" s="23" t="s">
        <v>54</v>
      </c>
    </row>
    <row r="5" spans="1:10" ht="39.75" customHeight="1" x14ac:dyDescent="0.25">
      <c r="A5" s="28">
        <v>2</v>
      </c>
      <c r="B5" s="29" t="s">
        <v>142</v>
      </c>
      <c r="C5" s="28" t="s">
        <v>69</v>
      </c>
      <c r="D5" s="30" t="s">
        <v>143</v>
      </c>
      <c r="E5" s="31" t="s">
        <v>93</v>
      </c>
      <c r="F5" s="30" t="s">
        <v>60</v>
      </c>
      <c r="G5" s="30" t="s">
        <v>60</v>
      </c>
      <c r="H5" s="30" t="s">
        <v>12</v>
      </c>
      <c r="I5" s="27" t="s">
        <v>22</v>
      </c>
      <c r="J5" s="28" t="s">
        <v>54</v>
      </c>
    </row>
    <row r="6" spans="1:10" ht="39.75" customHeight="1" x14ac:dyDescent="0.25">
      <c r="A6" s="23">
        <v>3</v>
      </c>
      <c r="B6" s="24" t="s">
        <v>144</v>
      </c>
      <c r="C6" s="23" t="s">
        <v>69</v>
      </c>
      <c r="D6" s="25" t="s">
        <v>145</v>
      </c>
      <c r="E6" s="31" t="s">
        <v>93</v>
      </c>
      <c r="F6" s="25" t="s">
        <v>60</v>
      </c>
      <c r="G6" s="25" t="s">
        <v>60</v>
      </c>
      <c r="H6" s="25" t="s">
        <v>12</v>
      </c>
      <c r="I6" s="27" t="s">
        <v>22</v>
      </c>
      <c r="J6" s="23" t="s">
        <v>54</v>
      </c>
    </row>
    <row r="7" spans="1:10" ht="39.75" customHeight="1" x14ac:dyDescent="0.25">
      <c r="A7" s="28">
        <v>4</v>
      </c>
      <c r="B7" s="29" t="s">
        <v>146</v>
      </c>
      <c r="C7" s="28" t="s">
        <v>69</v>
      </c>
      <c r="D7" s="30" t="s">
        <v>147</v>
      </c>
      <c r="E7" s="26" t="s">
        <v>52</v>
      </c>
      <c r="F7" s="30" t="s">
        <v>60</v>
      </c>
      <c r="G7" s="30" t="s">
        <v>60</v>
      </c>
      <c r="H7" s="30" t="s">
        <v>12</v>
      </c>
      <c r="I7" s="27" t="s">
        <v>22</v>
      </c>
      <c r="J7" s="28" t="s">
        <v>54</v>
      </c>
    </row>
    <row r="8" spans="1:10" ht="39.75" customHeight="1" x14ac:dyDescent="0.25">
      <c r="A8" s="23">
        <v>5</v>
      </c>
      <c r="B8" s="24" t="s">
        <v>148</v>
      </c>
      <c r="C8" s="23" t="s">
        <v>69</v>
      </c>
      <c r="D8" s="25" t="s">
        <v>149</v>
      </c>
      <c r="E8" s="26" t="s">
        <v>52</v>
      </c>
      <c r="F8" s="25" t="s">
        <v>60</v>
      </c>
      <c r="G8" s="25" t="s">
        <v>60</v>
      </c>
      <c r="H8" s="25" t="s">
        <v>12</v>
      </c>
      <c r="I8" s="27" t="s">
        <v>22</v>
      </c>
      <c r="J8" s="23" t="s">
        <v>54</v>
      </c>
    </row>
    <row r="9" spans="1:10" ht="39.75" customHeight="1" x14ac:dyDescent="0.25">
      <c r="A9" s="28">
        <v>6</v>
      </c>
      <c r="B9" s="29" t="s">
        <v>150</v>
      </c>
      <c r="C9" s="28" t="s">
        <v>69</v>
      </c>
      <c r="D9" s="30" t="s">
        <v>151</v>
      </c>
      <c r="E9" s="26" t="s">
        <v>52</v>
      </c>
      <c r="F9" s="30" t="s">
        <v>60</v>
      </c>
      <c r="G9" s="30" t="s">
        <v>60</v>
      </c>
      <c r="H9" s="30" t="s">
        <v>12</v>
      </c>
      <c r="I9" s="27" t="s">
        <v>22</v>
      </c>
      <c r="J9" s="28" t="s">
        <v>54</v>
      </c>
    </row>
    <row r="10" spans="1:10" ht="39.75" customHeight="1" x14ac:dyDescent="0.25">
      <c r="A10" s="23">
        <v>7</v>
      </c>
      <c r="B10" s="24" t="s">
        <v>152</v>
      </c>
      <c r="C10" s="23" t="s">
        <v>111</v>
      </c>
      <c r="D10" s="25" t="s">
        <v>153</v>
      </c>
      <c r="E10" s="31" t="s">
        <v>93</v>
      </c>
      <c r="F10" s="25" t="s">
        <v>60</v>
      </c>
      <c r="G10" s="25" t="s">
        <v>60</v>
      </c>
      <c r="H10" s="25" t="s">
        <v>12</v>
      </c>
      <c r="I10" s="27" t="s">
        <v>22</v>
      </c>
      <c r="J10" s="23" t="s">
        <v>54</v>
      </c>
    </row>
  </sheetData>
  <autoFilter ref="A3:J10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showGridLines="0" zoomScaleNormal="100" workbookViewId="0">
      <selection activeCell="B8" sqref="B8"/>
    </sheetView>
  </sheetViews>
  <sheetFormatPr defaultColWidth="8.7109375" defaultRowHeight="15" x14ac:dyDescent="0.25"/>
  <cols>
    <col min="1" max="1" width="4" customWidth="1"/>
    <col min="2" max="3" width="28" customWidth="1"/>
    <col min="4" max="5" width="22" customWidth="1"/>
    <col min="6" max="6" width="4" customWidth="1"/>
  </cols>
  <sheetData>
    <row r="2" spans="2:5" ht="31.5" customHeight="1" x14ac:dyDescent="0.25">
      <c r="B2" s="2" t="s">
        <v>154</v>
      </c>
      <c r="C2" s="2"/>
      <c r="D2" s="2"/>
      <c r="E2" s="2"/>
    </row>
    <row r="4" spans="2:5" ht="19.5" customHeight="1" x14ac:dyDescent="0.25">
      <c r="B4" s="13" t="s">
        <v>155</v>
      </c>
      <c r="C4" s="13" t="s">
        <v>156</v>
      </c>
      <c r="D4" s="13" t="s">
        <v>157</v>
      </c>
      <c r="E4" s="13" t="s">
        <v>158</v>
      </c>
    </row>
    <row r="5" spans="2:5" ht="25.5" customHeight="1" x14ac:dyDescent="0.25">
      <c r="B5" s="17" t="s">
        <v>166</v>
      </c>
      <c r="C5" s="17" t="s">
        <v>12</v>
      </c>
      <c r="D5" s="17"/>
      <c r="E5" s="17"/>
    </row>
    <row r="6" spans="2:5" ht="25.5" customHeight="1" x14ac:dyDescent="0.25">
      <c r="B6" s="14" t="s">
        <v>164</v>
      </c>
      <c r="C6" s="14" t="s">
        <v>160</v>
      </c>
      <c r="D6" s="14"/>
      <c r="E6" s="14"/>
    </row>
    <row r="7" spans="2:5" ht="25.5" customHeight="1" x14ac:dyDescent="0.25">
      <c r="B7" s="17" t="s">
        <v>165</v>
      </c>
      <c r="C7" s="17" t="s">
        <v>57</v>
      </c>
      <c r="D7" s="17"/>
      <c r="E7" s="17"/>
    </row>
    <row r="8" spans="2:5" ht="25.5" customHeight="1" x14ac:dyDescent="0.25">
      <c r="B8" s="14" t="s">
        <v>163</v>
      </c>
      <c r="C8" s="14" t="s">
        <v>161</v>
      </c>
      <c r="D8" s="14"/>
      <c r="E8" s="14"/>
    </row>
    <row r="9" spans="2:5" ht="25.5" customHeight="1" x14ac:dyDescent="0.25">
      <c r="B9" s="17" t="s">
        <v>159</v>
      </c>
      <c r="C9" s="17" t="s">
        <v>162</v>
      </c>
      <c r="D9" s="17"/>
      <c r="E9" s="17"/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Web Issues</vt:lpstr>
      <vt:lpstr>App Issues</vt:lpstr>
      <vt:lpstr>Sign-Off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2026-06-12T06:55:07Z</dcterms:created>
  <dcterms:modified xsi:type="dcterms:W3CDTF">2026-06-12T07:02:57Z</dcterms:modified>
  <dc:language>en-US</dc:language>
</cp:coreProperties>
</file>